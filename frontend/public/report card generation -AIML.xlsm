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E81A5913-DBF1-46AC-B07B-7F7644C1472E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report card" sheetId="1" r:id="rId1"/>
    <sheet name="data base" sheetId="2" r:id="rId2"/>
  </sheets>
  <definedNames>
    <definedName name="_xleta.NOT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4" i="1" l="1"/>
  <c r="H24" i="1" s="1"/>
  <c r="G25" i="1"/>
  <c r="H25" i="1" s="1"/>
  <c r="M22" i="1"/>
  <c r="N22" i="1" s="1"/>
  <c r="M23" i="1"/>
  <c r="N23" i="1" s="1"/>
  <c r="M26" i="1"/>
  <c r="G20" i="1" l="1"/>
  <c r="G21" i="1"/>
  <c r="G22" i="1"/>
  <c r="H22" i="1" s="1"/>
  <c r="G23" i="1"/>
  <c r="H23" i="1" s="1"/>
  <c r="M20" i="1"/>
  <c r="N20" i="1" s="1"/>
  <c r="M21" i="1"/>
  <c r="N21" i="1" s="1"/>
  <c r="H21" i="1" l="1"/>
  <c r="N26" i="1"/>
  <c r="M19" i="1"/>
  <c r="N19" i="1" s="1"/>
  <c r="H20" i="1"/>
  <c r="G19" i="1"/>
  <c r="H19" i="1" s="1"/>
  <c r="F15" i="1"/>
  <c r="M42" i="1" l="1"/>
</calcChain>
</file>

<file path=xl/sharedStrings.xml><?xml version="1.0" encoding="utf-8"?>
<sst xmlns="http://schemas.openxmlformats.org/spreadsheetml/2006/main" count="57" uniqueCount="53">
  <si>
    <t>Register Number</t>
  </si>
  <si>
    <t>REGISTER NO:</t>
  </si>
  <si>
    <t>STUDENT NAME:</t>
  </si>
  <si>
    <t>TOTAL MARKS</t>
  </si>
  <si>
    <t>PASSING MARKS</t>
  </si>
  <si>
    <t>MARKS OBTAINED</t>
  </si>
  <si>
    <t>PASS/FAIL</t>
  </si>
  <si>
    <t>HOD</t>
  </si>
  <si>
    <t>PRINCIPAL</t>
  </si>
  <si>
    <t>DA-1</t>
  </si>
  <si>
    <t>DA-2</t>
  </si>
  <si>
    <t>DA-3</t>
  </si>
  <si>
    <t>DA-4</t>
  </si>
  <si>
    <t>DA-5</t>
  </si>
  <si>
    <t>DA-6</t>
  </si>
  <si>
    <t>DA-7</t>
  </si>
  <si>
    <t>CIE-1</t>
  </si>
  <si>
    <t>CIE-2</t>
  </si>
  <si>
    <t>CIE-3</t>
  </si>
  <si>
    <t>CIE-4</t>
  </si>
  <si>
    <t>CIE-5</t>
  </si>
  <si>
    <t>SUBJECT:</t>
  </si>
  <si>
    <t>m19=</t>
  </si>
  <si>
    <t>formula</t>
  </si>
  <si>
    <t>Attendance</t>
  </si>
  <si>
    <t>No of classes taken</t>
  </si>
  <si>
    <t>No of classes present</t>
  </si>
  <si>
    <t>Attendance %</t>
  </si>
  <si>
    <t>attendance</t>
  </si>
  <si>
    <t>AIML</t>
  </si>
  <si>
    <t>MONTH/YEAR:</t>
  </si>
  <si>
    <t>ANJI LATHA</t>
  </si>
  <si>
    <t>ANUSHA G</t>
  </si>
  <si>
    <t>B KAVANA</t>
  </si>
  <si>
    <t>B HARI PRASAD ACHAR</t>
  </si>
  <si>
    <t>B NAMRATHA</t>
  </si>
  <si>
    <t>B NANDITHA</t>
  </si>
  <si>
    <t>CHAKRAM SAHITHI</t>
  </si>
  <si>
    <t>DADA KHALANDAR HAYATH</t>
  </si>
  <si>
    <t>N MUBINA</t>
  </si>
  <si>
    <t>NAMRATHA</t>
  </si>
  <si>
    <t>NAYANA G S</t>
  </si>
  <si>
    <t>NOORE ALMAS</t>
  </si>
  <si>
    <t>PARVATHI A</t>
  </si>
  <si>
    <t>PRARTHANA</t>
  </si>
  <si>
    <t>R DINAKARAN</t>
  </si>
  <si>
    <t>ROSHINI</t>
  </si>
  <si>
    <t>SANIYA FIRDOS L</t>
  </si>
  <si>
    <t>SHIFANAAZ</t>
  </si>
  <si>
    <t>SOWMYA</t>
  </si>
  <si>
    <t>T M SHAMANTH</t>
  </si>
  <si>
    <t>U VIDYA BHARATHI</t>
  </si>
  <si>
    <r>
      <t xml:space="preserve">PLEASE CONTACT HOD, 
IF YOUR </t>
    </r>
    <r>
      <rPr>
        <b/>
        <sz val="12"/>
        <color theme="1"/>
        <rFont val="Times New Roman"/>
        <family val="1"/>
      </rPr>
      <t>SON/DAUGHTER</t>
    </r>
    <r>
      <rPr>
        <sz val="12"/>
        <color theme="1"/>
        <rFont val="Times New Roman"/>
        <family val="1"/>
      </rPr>
      <t xml:space="preserve"> IS </t>
    </r>
    <r>
      <rPr>
        <b/>
        <sz val="12"/>
        <color theme="1"/>
        <rFont val="Times New Roman"/>
        <family val="1"/>
      </rPr>
      <t>FAILED</t>
    </r>
    <r>
      <rPr>
        <sz val="12"/>
        <color theme="1"/>
        <rFont val="Times New Roman"/>
        <family val="1"/>
      </rPr>
      <t xml:space="preserve"> IN ANY SUBJECT.
</t>
    </r>
    <r>
      <rPr>
        <b/>
        <sz val="18"/>
        <color rgb="FFFF0000"/>
        <rFont val="Times New Roman"/>
        <family val="1"/>
      </rPr>
      <t xml:space="preserve">HOD: 8660155525 
</t>
    </r>
    <r>
      <rPr>
        <b/>
        <sz val="12"/>
        <color rgb="FFFF0000"/>
        <rFont val="Times New Roman"/>
        <family val="1"/>
      </rPr>
      <t>Note: As we are sending only attendance % and Test is not conducted.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</si>
</sst>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rgb="FF002060"/>
      <name val="Times New Roman"/>
      <family val="1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rgb="FFFF0000"/>
      <name val="Times New Roman"/>
      <family val="1"/>
    </font>
    <font>
      <b/>
      <sz val="14"/>
      <color theme="8" tint="-0.499984740745262"/>
      <name val="Times New Roman"/>
      <family val="1"/>
    </font>
    <font>
      <b/>
      <u/>
      <sz val="14"/>
      <color theme="8" tint="-0.499984740745262"/>
      <name val="Times New Roman"/>
      <family val="1"/>
    </font>
    <font>
      <b/>
      <sz val="14"/>
      <color rgb="FF002060"/>
      <name val="Times New Roman"/>
      <family val="1"/>
    </font>
    <font>
      <sz val="16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u/>
      <sz val="16"/>
      <color theme="8" tint="-0.499984740745262"/>
      <name val="Times New Roman"/>
      <family val="1"/>
    </font>
    <font>
      <b/>
      <sz val="14"/>
      <color theme="1"/>
      <name val="Times New Roman"/>
      <family val="1"/>
    </font>
    <font>
      <b/>
      <sz val="14"/>
      <color rgb="FF0070C0"/>
      <name val="Times New Roman"/>
      <family val="1"/>
    </font>
    <font>
      <sz val="14"/>
      <color theme="1"/>
      <name val="Times New Roman"/>
      <family val="1"/>
    </font>
    <font>
      <sz val="12"/>
      <name val="Times New Roman"/>
      <family val="1"/>
    </font>
    <font>
      <b/>
      <sz val="11"/>
      <color theme="1"/>
      <name val="Calibri"/>
      <family val="2"/>
    </font>
    <font>
      <b/>
      <sz val="11"/>
      <color theme="1"/>
      <name val="Times New Roman"/>
      <family val="1"/>
    </font>
    <font>
      <sz val="8"/>
      <name val="Calibri"/>
      <family val="2"/>
      <scheme val="minor"/>
    </font>
    <font>
      <b/>
      <sz val="12"/>
      <color rgb="FFFF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4FBC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CCCCCC"/>
      </top>
      <bottom style="medium">
        <color rgb="FF000000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0" borderId="0" xfId="0" applyNumberFormat="1" applyFont="1"/>
    <xf numFmtId="164" fontId="2" fillId="0" borderId="0" xfId="0" applyNumberFormat="1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right" vertical="center"/>
    </xf>
    <xf numFmtId="0" fontId="5" fillId="2" borderId="1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2" fillId="4" borderId="3" xfId="0" applyFont="1" applyFill="1" applyBorder="1" applyAlignment="1">
      <alignment horizontal="center" wrapText="1"/>
    </xf>
    <xf numFmtId="0" fontId="2" fillId="4" borderId="4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0" borderId="0" xfId="0" applyFont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16" fillId="0" borderId="1" xfId="0" applyFont="1" applyBorder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1" fontId="2" fillId="0" borderId="1" xfId="0" applyNumberFormat="1" applyFont="1" applyBorder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wrapText="1"/>
    </xf>
    <xf numFmtId="0" fontId="2" fillId="4" borderId="6" xfId="0" applyFont="1" applyFill="1" applyBorder="1" applyAlignment="1">
      <alignment horizontal="center" wrapText="1"/>
    </xf>
    <xf numFmtId="0" fontId="2" fillId="3" borderId="6" xfId="0" applyFont="1" applyFill="1" applyBorder="1" applyAlignment="1">
      <alignment horizontal="center" wrapText="1"/>
    </xf>
    <xf numFmtId="0" fontId="18" fillId="0" borderId="3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17" fontId="9" fillId="2" borderId="0" xfId="0" applyNumberFormat="1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5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9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rgb="FFFF0000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4FB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609599</xdr:colOff>
      <xdr:row>3</xdr:row>
      <xdr:rowOff>0</xdr:rowOff>
    </xdr:from>
    <xdr:to>
      <xdr:col>16</xdr:col>
      <xdr:colOff>9524</xdr:colOff>
      <xdr:row>30</xdr:row>
      <xdr:rowOff>295275</xdr:rowOff>
    </xdr:to>
    <xdr:sp macro="" textlink="">
      <xdr:nvSpPr>
        <xdr:cNvPr id="2" name="Fram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19199" y="428625"/>
          <a:ext cx="10763250" cy="6924675"/>
        </a:xfrm>
        <a:prstGeom prst="frame">
          <a:avLst>
            <a:gd name="adj1" fmla="val 872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293158</xdr:colOff>
      <xdr:row>4</xdr:row>
      <xdr:rowOff>50799</xdr:rowOff>
    </xdr:from>
    <xdr:to>
      <xdr:col>15</xdr:col>
      <xdr:colOff>45508</xdr:colOff>
      <xdr:row>6</xdr:row>
      <xdr:rowOff>127000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595158" y="675216"/>
          <a:ext cx="7414683" cy="4572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SANDUR POLYTECHNIC, YESHWANTNAGAR</a:t>
          </a:r>
        </a:p>
      </xdr:txBody>
    </xdr:sp>
    <xdr:clientData/>
  </xdr:twoCellAnchor>
  <xdr:twoCellAnchor>
    <xdr:from>
      <xdr:col>6</xdr:col>
      <xdr:colOff>554565</xdr:colOff>
      <xdr:row>7</xdr:row>
      <xdr:rowOff>24340</xdr:rowOff>
    </xdr:from>
    <xdr:to>
      <xdr:col>14</xdr:col>
      <xdr:colOff>1116541</xdr:colOff>
      <xdr:row>9</xdr:row>
      <xdr:rowOff>119591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856565" y="1220257"/>
          <a:ext cx="6901393" cy="476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600" b="1">
              <a:solidFill>
                <a:schemeClr val="accent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DEPARTMENT</a:t>
          </a:r>
          <a:r>
            <a:rPr lang="en-IN" sz="1600" b="1" baseline="0">
              <a:solidFill>
                <a:schemeClr val="accent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OF COMPUTER SCIENCE &amp; ENGG</a:t>
          </a:r>
          <a:endParaRPr lang="en-IN" sz="1600" b="1">
            <a:solidFill>
              <a:schemeClr val="accent5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551393</xdr:colOff>
      <xdr:row>3</xdr:row>
      <xdr:rowOff>82550</xdr:rowOff>
    </xdr:from>
    <xdr:to>
      <xdr:col>5</xdr:col>
      <xdr:colOff>613833</xdr:colOff>
      <xdr:row>10</xdr:row>
      <xdr:rowOff>105576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2560" y="516467"/>
          <a:ext cx="1364190" cy="1356526"/>
        </a:xfrm>
        <a:prstGeom prst="rect">
          <a:avLst/>
        </a:prstGeom>
      </xdr:spPr>
    </xdr:pic>
    <xdr:clientData/>
  </xdr:twoCellAnchor>
  <xdr:twoCellAnchor>
    <xdr:from>
      <xdr:col>8</xdr:col>
      <xdr:colOff>132290</xdr:colOff>
      <xdr:row>11</xdr:row>
      <xdr:rowOff>116417</xdr:rowOff>
    </xdr:from>
    <xdr:to>
      <xdr:col>13</xdr:col>
      <xdr:colOff>137583</xdr:colOff>
      <xdr:row>12</xdr:row>
      <xdr:rowOff>230717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265207" y="2074334"/>
          <a:ext cx="3931709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600" b="1" u="sng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IA</a:t>
          </a:r>
          <a:r>
            <a:rPr lang="en-IN" sz="1600" b="1" u="sng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MARKS &amp; ATTENDANCE DETAILS</a:t>
          </a:r>
          <a:endParaRPr lang="en-IN" sz="1600" b="1" u="sng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30</xdr:row>
          <xdr:rowOff>104775</xdr:rowOff>
        </xdr:from>
        <xdr:to>
          <xdr:col>9</xdr:col>
          <xdr:colOff>266700</xdr:colOff>
          <xdr:row>32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Messages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3:P43"/>
  <sheetViews>
    <sheetView zoomScale="90" zoomScaleNormal="90" workbookViewId="0">
      <selection activeCell="G13" sqref="G13"/>
    </sheetView>
  </sheetViews>
  <sheetFormatPr defaultRowHeight="15" x14ac:dyDescent="0.25"/>
  <cols>
    <col min="2" max="2" width="1" customWidth="1"/>
    <col min="5" max="5" width="10.28515625" customWidth="1"/>
    <col min="6" max="6" width="10.5703125" customWidth="1"/>
    <col min="7" max="7" width="12.85546875" customWidth="1"/>
    <col min="8" max="8" width="14.5703125" bestFit="1" customWidth="1"/>
    <col min="9" max="9" width="5" customWidth="1"/>
    <col min="10" max="10" width="11" customWidth="1"/>
    <col min="11" max="11" width="14.28515625" customWidth="1"/>
    <col min="12" max="12" width="13.85546875" customWidth="1"/>
    <col min="13" max="13" width="14.7109375" customWidth="1"/>
    <col min="14" max="14" width="13.42578125" customWidth="1"/>
    <col min="15" max="15" width="19.85546875" customWidth="1"/>
    <col min="16" max="16" width="16.85546875" customWidth="1"/>
    <col min="17" max="17" width="0.85546875" customWidth="1"/>
  </cols>
  <sheetData>
    <row r="3" spans="3:16" ht="9" customHeight="1" x14ac:dyDescent="0.25"/>
    <row r="4" spans="3:16" x14ac:dyDescent="0.25"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</row>
    <row r="5" spans="3:16" x14ac:dyDescent="0.25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</row>
    <row r="6" spans="3:16" x14ac:dyDescent="0.25"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</row>
    <row r="7" spans="3:16" x14ac:dyDescent="0.25"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</row>
    <row r="8" spans="3:16" x14ac:dyDescent="0.25"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</row>
    <row r="9" spans="3:16" x14ac:dyDescent="0.25"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  <row r="10" spans="3:16" x14ac:dyDescent="0.25"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</row>
    <row r="11" spans="3:16" x14ac:dyDescent="0.25"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</row>
    <row r="12" spans="3:16" x14ac:dyDescent="0.25"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</row>
    <row r="13" spans="3:16" ht="18.75" x14ac:dyDescent="0.25">
      <c r="C13" s="7"/>
      <c r="D13" s="44" t="s">
        <v>1</v>
      </c>
      <c r="E13" s="44"/>
      <c r="F13" s="8">
        <v>21</v>
      </c>
      <c r="G13" s="7"/>
      <c r="H13" s="7"/>
      <c r="I13" s="7"/>
      <c r="J13" s="7"/>
      <c r="K13" s="7"/>
      <c r="L13" s="7"/>
      <c r="M13" s="7"/>
      <c r="N13" s="7"/>
      <c r="O13" s="19" t="s">
        <v>30</v>
      </c>
      <c r="P13" s="42">
        <v>46234</v>
      </c>
    </row>
    <row r="14" spans="3:16" ht="15.75" x14ac:dyDescent="0.25">
      <c r="C14" s="7"/>
      <c r="D14" s="7"/>
      <c r="E14" s="7"/>
      <c r="F14" s="8"/>
      <c r="G14" s="7"/>
      <c r="H14" s="7"/>
      <c r="I14" s="7"/>
      <c r="J14" s="7"/>
      <c r="K14" s="7"/>
      <c r="L14" s="7"/>
      <c r="M14" s="7"/>
      <c r="N14" s="7"/>
      <c r="O14" s="7"/>
      <c r="P14" s="7"/>
    </row>
    <row r="15" spans="3:16" ht="20.25" x14ac:dyDescent="0.25">
      <c r="C15" s="7"/>
      <c r="D15" s="44" t="s">
        <v>2</v>
      </c>
      <c r="E15" s="44"/>
      <c r="F15" s="8" t="str">
        <f>VLOOKUP($F$13,'data base'!$A$2:$Q$26,2,0)</f>
        <v>U VIDYA BHARATHI</v>
      </c>
      <c r="G15" s="7"/>
      <c r="H15" s="7"/>
      <c r="I15" s="7"/>
      <c r="J15" s="7"/>
      <c r="K15" s="16" t="s">
        <v>21</v>
      </c>
      <c r="L15" s="21" t="s">
        <v>29</v>
      </c>
      <c r="M15" s="7"/>
      <c r="N15" s="7"/>
      <c r="O15" s="7"/>
      <c r="P15" s="7"/>
    </row>
    <row r="16" spans="3:16" x14ac:dyDescent="0.25"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</row>
    <row r="17" spans="3:16" x14ac:dyDescent="0.25"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</row>
    <row r="18" spans="3:16" ht="29.25" customHeight="1" x14ac:dyDescent="0.25">
      <c r="C18" s="7"/>
      <c r="D18" s="15"/>
      <c r="E18" s="10" t="s">
        <v>3</v>
      </c>
      <c r="F18" s="10" t="s">
        <v>4</v>
      </c>
      <c r="G18" s="10" t="s">
        <v>5</v>
      </c>
      <c r="H18" s="10" t="s">
        <v>6</v>
      </c>
      <c r="I18" s="7"/>
      <c r="J18" s="15"/>
      <c r="K18" s="10" t="s">
        <v>3</v>
      </c>
      <c r="L18" s="10" t="s">
        <v>4</v>
      </c>
      <c r="M18" s="10" t="s">
        <v>5</v>
      </c>
      <c r="N18" s="10" t="s">
        <v>6</v>
      </c>
      <c r="O18" s="43" t="s">
        <v>52</v>
      </c>
      <c r="P18" s="43"/>
    </row>
    <row r="19" spans="3:16" ht="33" customHeight="1" x14ac:dyDescent="0.25">
      <c r="C19" s="7"/>
      <c r="D19" s="9" t="s">
        <v>9</v>
      </c>
      <c r="E19" s="26">
        <v>10</v>
      </c>
      <c r="F19" s="29">
        <v>4</v>
      </c>
      <c r="G19" s="26" t="e">
        <f>VLOOKUP($F$13,'data base'!$A$2:$Q$26,MATCH('report card'!D19,'data base'!$A$1:$Q$1,0),0)</f>
        <v>#N/A</v>
      </c>
      <c r="H19" s="20" t="e">
        <f>IF(G19="AB","Absent",IF(G19&lt;F19,"FAIL","PASS"))</f>
        <v>#N/A</v>
      </c>
      <c r="I19" s="17"/>
      <c r="J19" s="9" t="s">
        <v>16</v>
      </c>
      <c r="K19" s="26">
        <v>30</v>
      </c>
      <c r="L19" s="27">
        <v>18</v>
      </c>
      <c r="M19" s="28" t="e">
        <f>VLOOKUP($F$13,'data base'!$A$2:$Q$26,MATCH('report card'!J19,'data base'!$A$1:$Q$1,0),0)</f>
        <v>#N/A</v>
      </c>
      <c r="N19" s="20" t="e">
        <f>IF(M19="AB","Absent",IF(M19&lt;L19,"FAIL","PASS"))</f>
        <v>#N/A</v>
      </c>
      <c r="O19" s="43"/>
      <c r="P19" s="43"/>
    </row>
    <row r="20" spans="3:16" ht="35.25" customHeight="1" x14ac:dyDescent="0.25">
      <c r="C20" s="7"/>
      <c r="D20" s="9" t="s">
        <v>10</v>
      </c>
      <c r="E20" s="26">
        <v>10</v>
      </c>
      <c r="F20" s="29">
        <v>4</v>
      </c>
      <c r="G20" s="26" t="e">
        <f>VLOOKUP($F$13,'data base'!$A$2:$Q$26,MATCH('report card'!D20,'data base'!$A$1:$Q$1,0),0)</f>
        <v>#N/A</v>
      </c>
      <c r="H20" s="20" t="e">
        <f>IF(G20="AB","Absent",IF(G20&lt;F20,"FAIL","PASS"))</f>
        <v>#N/A</v>
      </c>
      <c r="I20" s="17"/>
      <c r="J20" s="9" t="s">
        <v>17</v>
      </c>
      <c r="K20" s="26">
        <v>30</v>
      </c>
      <c r="L20" s="27">
        <v>18</v>
      </c>
      <c r="M20" s="28" t="e">
        <f>VLOOKUP($F$13,'data base'!$A$2:$Q$26,MATCH('report card'!J20,'data base'!$A$1:$Q$1,0),0)</f>
        <v>#N/A</v>
      </c>
      <c r="N20" s="20" t="e">
        <f t="shared" ref="N20:N23" si="0">IF(M20="AB","Absent",IF(M20&lt;L20,"FAIL","PASS"))</f>
        <v>#N/A</v>
      </c>
      <c r="O20" s="43"/>
      <c r="P20" s="43"/>
    </row>
    <row r="21" spans="3:16" ht="33" customHeight="1" x14ac:dyDescent="0.25">
      <c r="C21" s="7"/>
      <c r="D21" s="9" t="s">
        <v>11</v>
      </c>
      <c r="E21" s="26">
        <v>10</v>
      </c>
      <c r="F21" s="29">
        <v>4</v>
      </c>
      <c r="G21" s="26" t="e">
        <f>VLOOKUP($F$13,'data base'!$A$2:$Q$26,MATCH('report card'!D21,'data base'!$A$1:$Q$1,0),0)</f>
        <v>#N/A</v>
      </c>
      <c r="H21" s="20" t="e">
        <f>IF(G21="AB","Absent",IF(G21&lt;F21,"FAIL","PASS"))</f>
        <v>#N/A</v>
      </c>
      <c r="I21" s="17"/>
      <c r="J21" s="9" t="s">
        <v>18</v>
      </c>
      <c r="K21" s="26">
        <v>30</v>
      </c>
      <c r="L21" s="27">
        <v>18</v>
      </c>
      <c r="M21" s="28" t="e">
        <f>VLOOKUP($F$13,'data base'!$A$2:$Q$26,MATCH('report card'!J21,'data base'!$A$1:$Q$1,0),0)</f>
        <v>#N/A</v>
      </c>
      <c r="N21" s="20" t="e">
        <f t="shared" si="0"/>
        <v>#N/A</v>
      </c>
      <c r="O21" s="43"/>
      <c r="P21" s="43"/>
    </row>
    <row r="22" spans="3:16" ht="33" customHeight="1" x14ac:dyDescent="0.25">
      <c r="C22" s="7"/>
      <c r="D22" s="9" t="s">
        <v>12</v>
      </c>
      <c r="E22" s="26">
        <v>10</v>
      </c>
      <c r="F22" s="29">
        <v>4</v>
      </c>
      <c r="G22" s="26" t="e">
        <f>VLOOKUP($F$13,'data base'!$A$2:$Q$26,MATCH('report card'!D22,'data base'!$A$1:$Q$1,0),0)</f>
        <v>#N/A</v>
      </c>
      <c r="H22" s="20" t="e">
        <f t="shared" ref="H22:H25" si="1">IF(G22="AB","Absent",IF(G22&lt;F22,"FAIL","PASS"))</f>
        <v>#N/A</v>
      </c>
      <c r="I22" s="17"/>
      <c r="J22" s="9" t="s">
        <v>19</v>
      </c>
      <c r="K22" s="26">
        <v>30</v>
      </c>
      <c r="L22" s="27">
        <v>18</v>
      </c>
      <c r="M22" s="28" t="e">
        <f>VLOOKUP($F$13,'data base'!$A$2:$Q$26,MATCH('report card'!J22,'data base'!$A$1:$Q$1,0),0)</f>
        <v>#N/A</v>
      </c>
      <c r="N22" s="20" t="e">
        <f t="shared" si="0"/>
        <v>#N/A</v>
      </c>
      <c r="O22" s="43"/>
      <c r="P22" s="43"/>
    </row>
    <row r="23" spans="3:16" ht="33" customHeight="1" x14ac:dyDescent="0.25">
      <c r="C23" s="7"/>
      <c r="D23" s="9" t="s">
        <v>13</v>
      </c>
      <c r="E23" s="26">
        <v>10</v>
      </c>
      <c r="F23" s="29">
        <v>4</v>
      </c>
      <c r="G23" s="26" t="e">
        <f>VLOOKUP($F$13,'data base'!$A$2:$Q$26,MATCH('report card'!D23,'data base'!$A$1:$Q$1,0),0)</f>
        <v>#N/A</v>
      </c>
      <c r="H23" s="20" t="e">
        <f t="shared" si="1"/>
        <v>#N/A</v>
      </c>
      <c r="I23" s="17"/>
      <c r="J23" s="9" t="s">
        <v>20</v>
      </c>
      <c r="K23" s="26">
        <v>30</v>
      </c>
      <c r="L23" s="27">
        <v>18</v>
      </c>
      <c r="M23" s="28" t="e">
        <f>VLOOKUP($F$13,'data base'!$A$2:$Q$26,MATCH('report card'!J23,'data base'!$A$1:$Q$1,0),0)</f>
        <v>#N/A</v>
      </c>
      <c r="N23" s="20" t="e">
        <f t="shared" si="0"/>
        <v>#N/A</v>
      </c>
      <c r="O23" s="7"/>
      <c r="P23" s="7"/>
    </row>
    <row r="24" spans="3:16" ht="33" customHeight="1" x14ac:dyDescent="0.25">
      <c r="C24" s="7"/>
      <c r="D24" s="9" t="s">
        <v>14</v>
      </c>
      <c r="E24" s="26">
        <v>10</v>
      </c>
      <c r="F24" s="29">
        <v>4</v>
      </c>
      <c r="G24" s="26" t="e">
        <f>VLOOKUP($F$13,'data base'!$A$2:$Q$26,MATCH('report card'!D24,'data base'!$A$1:$Q$1,0),0)</f>
        <v>#N/A</v>
      </c>
      <c r="H24" s="20" t="e">
        <f t="shared" si="1"/>
        <v>#N/A</v>
      </c>
      <c r="I24" s="7"/>
      <c r="J24" s="7"/>
      <c r="K24" s="7"/>
      <c r="L24" s="7"/>
      <c r="M24" s="7"/>
      <c r="N24" s="7"/>
      <c r="O24" s="7"/>
      <c r="P24" s="7"/>
    </row>
    <row r="25" spans="3:16" ht="39.75" customHeight="1" x14ac:dyDescent="0.25">
      <c r="C25" s="7"/>
      <c r="D25" s="9" t="s">
        <v>15</v>
      </c>
      <c r="E25" s="26">
        <v>10</v>
      </c>
      <c r="F25" s="29">
        <v>4</v>
      </c>
      <c r="G25" s="26" t="e">
        <f>VLOOKUP($F$13,'data base'!$A$2:$Q$26,MATCH('report card'!D25,'data base'!$A$1:$Q$1,0),0)</f>
        <v>#N/A</v>
      </c>
      <c r="H25" s="20" t="e">
        <f t="shared" si="1"/>
        <v>#N/A</v>
      </c>
      <c r="I25" s="7"/>
      <c r="J25" s="46" t="s">
        <v>24</v>
      </c>
      <c r="K25" s="46"/>
      <c r="L25" s="10" t="s">
        <v>25</v>
      </c>
      <c r="M25" s="10" t="s">
        <v>26</v>
      </c>
      <c r="N25" s="18" t="s">
        <v>27</v>
      </c>
      <c r="O25" s="7"/>
      <c r="P25" s="7"/>
    </row>
    <row r="26" spans="3:16" ht="33" customHeight="1" x14ac:dyDescent="0.25">
      <c r="C26" s="7"/>
      <c r="D26" s="7"/>
      <c r="E26" s="7"/>
      <c r="F26" s="7"/>
      <c r="G26" s="7"/>
      <c r="H26" s="7"/>
      <c r="I26" s="7"/>
      <c r="J26" s="46"/>
      <c r="K26" s="46"/>
      <c r="L26" s="30">
        <v>156</v>
      </c>
      <c r="M26" s="30">
        <f>VLOOKUP($F$13,'data base'!$A$2:$Q$26,17,0)</f>
        <v>142</v>
      </c>
      <c r="N26" s="20">
        <f>M26/L26*100</f>
        <v>91.025641025641022</v>
      </c>
      <c r="O26" s="7"/>
      <c r="P26" s="7"/>
    </row>
    <row r="27" spans="3:16" ht="33.75" customHeight="1" x14ac:dyDescent="0.25"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</row>
    <row r="28" spans="3:16" ht="33.75" customHeight="1" x14ac:dyDescent="0.25"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</row>
    <row r="29" spans="3:16" ht="24.75" customHeight="1" x14ac:dyDescent="0.25">
      <c r="C29" s="7"/>
      <c r="D29" s="7"/>
      <c r="E29" s="11" t="s">
        <v>7</v>
      </c>
      <c r="F29" s="7"/>
      <c r="G29" s="7"/>
      <c r="H29" s="7"/>
      <c r="I29" s="7"/>
      <c r="J29" s="7"/>
      <c r="K29" s="7"/>
      <c r="L29" s="7"/>
      <c r="M29" s="7"/>
      <c r="N29" s="11"/>
      <c r="O29" s="11" t="s">
        <v>8</v>
      </c>
      <c r="P29" s="7"/>
    </row>
    <row r="30" spans="3:16" ht="24.75" customHeight="1" x14ac:dyDescent="0.25"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</row>
    <row r="31" spans="3:16" ht="24.75" customHeight="1" x14ac:dyDescent="0.25"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</row>
    <row r="32" spans="3:16" ht="4.5" customHeight="1" x14ac:dyDescent="0.25"/>
    <row r="34" spans="7:15" ht="21" x14ac:dyDescent="0.35">
      <c r="G34" s="45"/>
      <c r="H34" s="45"/>
      <c r="I34" s="45"/>
      <c r="J34" s="45"/>
      <c r="K34" s="45"/>
      <c r="L34" s="45"/>
      <c r="M34" s="45"/>
      <c r="N34" s="45"/>
      <c r="O34" s="45"/>
    </row>
    <row r="42" spans="7:15" x14ac:dyDescent="0.25">
      <c r="L42" t="s">
        <v>22</v>
      </c>
      <c r="M42" t="e">
        <f>VLOOKUP($F$13,'data base'!$A$2:$P$26,MATCH('report card'!J19,'data base'!$A$1:$P$1,0),0)</f>
        <v>#N/A</v>
      </c>
    </row>
    <row r="43" spans="7:15" x14ac:dyDescent="0.25">
      <c r="L43" t="s">
        <v>23</v>
      </c>
    </row>
  </sheetData>
  <mergeCells count="5">
    <mergeCell ref="O18:P22"/>
    <mergeCell ref="D15:E15"/>
    <mergeCell ref="D13:E13"/>
    <mergeCell ref="G34:O34"/>
    <mergeCell ref="J25:K26"/>
  </mergeCells>
  <phoneticPr fontId="19" type="noConversion"/>
  <conditionalFormatting sqref="N26">
    <cfRule type="cellIs" dxfId="8" priority="1" operator="greaterThan">
      <formula>75</formula>
    </cfRule>
    <cfRule type="cellIs" dxfId="7" priority="2" operator="lessThan">
      <formula>75</formula>
    </cfRule>
    <cfRule type="cellIs" dxfId="6" priority="3" operator="lessThan">
      <formula>75</formula>
    </cfRule>
    <cfRule type="cellIs" dxfId="5" priority="16" operator="lessThan">
      <formula>75</formula>
    </cfRule>
    <cfRule type="cellIs" dxfId="4" priority="17" operator="lessThan">
      <formula>75</formula>
    </cfRule>
  </conditionalFormatting>
  <conditionalFormatting sqref="H19:H25">
    <cfRule type="cellIs" dxfId="3" priority="6" operator="equal">
      <formula>"PASS"</formula>
    </cfRule>
    <cfRule type="cellIs" dxfId="2" priority="7" operator="equal">
      <formula>"FAIL"</formula>
    </cfRule>
  </conditionalFormatting>
  <conditionalFormatting sqref="N19:N23">
    <cfRule type="cellIs" dxfId="1" priority="4" operator="equal">
      <formula>"FAIL"</formula>
    </cfRule>
    <cfRule type="cellIs" dxfId="0" priority="5" operator="equal">
      <formula>"PASS"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C596FDD-E537-4B9E-A944-81A9337CB14B}">
          <x14:formula1>
            <xm:f>'data base'!$A$2:$A$26</xm:f>
          </x14:formula1>
          <xm:sqref>F13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2E6B-A95E-438B-B530-4ECF47839271}">
  <sheetPr codeName="Sheet2"/>
  <dimension ref="A1:R28"/>
  <sheetViews>
    <sheetView tabSelected="1" topLeftCell="B14" zoomScaleNormal="100" workbookViewId="0">
      <selection activeCell="C13" sqref="C13"/>
    </sheetView>
  </sheetViews>
  <sheetFormatPr defaultColWidth="9.140625" defaultRowHeight="15.75" x14ac:dyDescent="0.25"/>
  <cols>
    <col min="1" max="1" width="16.140625" style="3" bestFit="1" customWidth="1"/>
    <col min="2" max="2" width="25.85546875" style="3" customWidth="1"/>
    <col min="3" max="3" width="18.42578125" style="13" customWidth="1"/>
    <col min="4" max="4" width="20.7109375" style="13" customWidth="1"/>
    <col min="5" max="5" width="5.5703125" style="25" customWidth="1"/>
    <col min="6" max="16" width="5.5703125" style="3" customWidth="1"/>
    <col min="17" max="17" width="10" style="3" customWidth="1"/>
    <col min="18" max="18" width="14.42578125" style="3" bestFit="1" customWidth="1"/>
    <col min="19" max="16384" width="9.140625" style="3"/>
  </cols>
  <sheetData>
    <row r="1" spans="1:18" ht="32.25" thickBot="1" x14ac:dyDescent="0.3">
      <c r="A1" s="3" t="s">
        <v>0</v>
      </c>
      <c r="E1" s="1"/>
      <c r="F1" s="1"/>
      <c r="G1" s="1"/>
      <c r="H1" s="1"/>
      <c r="I1" s="1"/>
      <c r="J1" s="1"/>
      <c r="K1" s="1"/>
      <c r="L1" s="4"/>
      <c r="M1" s="4"/>
      <c r="N1" s="4"/>
      <c r="O1" s="4"/>
      <c r="P1" s="4"/>
      <c r="Q1" s="4" t="s">
        <v>28</v>
      </c>
    </row>
    <row r="2" spans="1:18" ht="16.5" thickBot="1" x14ac:dyDescent="0.3">
      <c r="A2" s="4">
        <v>1</v>
      </c>
      <c r="B2" s="31" t="s">
        <v>31</v>
      </c>
      <c r="C2" s="34">
        <v>919480729011</v>
      </c>
      <c r="D2" s="12"/>
      <c r="E2" s="22"/>
      <c r="F2" s="37"/>
      <c r="G2" s="23"/>
      <c r="H2" s="1"/>
      <c r="I2" s="1"/>
      <c r="L2" s="22"/>
      <c r="M2" s="40"/>
      <c r="N2" s="40"/>
      <c r="Q2" s="35">
        <v>128</v>
      </c>
      <c r="R2" s="13"/>
    </row>
    <row r="3" spans="1:18" ht="16.5" thickBot="1" x14ac:dyDescent="0.3">
      <c r="A3" s="4">
        <v>2</v>
      </c>
      <c r="B3" s="31" t="s">
        <v>32</v>
      </c>
      <c r="C3" s="34">
        <v>919743534903</v>
      </c>
      <c r="D3" s="12"/>
      <c r="E3" s="23"/>
      <c r="F3" s="38"/>
      <c r="G3" s="23"/>
      <c r="H3" s="1"/>
      <c r="I3" s="1"/>
      <c r="L3" s="23"/>
      <c r="M3" s="41"/>
      <c r="N3" s="41"/>
      <c r="Q3" s="36">
        <v>149</v>
      </c>
      <c r="R3" s="13"/>
    </row>
    <row r="4" spans="1:18" ht="16.5" thickBot="1" x14ac:dyDescent="0.3">
      <c r="A4" s="4">
        <v>3</v>
      </c>
      <c r="B4" s="31" t="s">
        <v>33</v>
      </c>
      <c r="C4" s="34">
        <v>916361880070</v>
      </c>
      <c r="D4" s="12"/>
      <c r="E4" s="23"/>
      <c r="F4" s="38"/>
      <c r="G4" s="23"/>
      <c r="H4" s="1"/>
      <c r="I4" s="1"/>
      <c r="L4" s="23"/>
      <c r="M4" s="41"/>
      <c r="N4" s="41"/>
      <c r="Q4" s="36">
        <v>117</v>
      </c>
      <c r="R4" s="13"/>
    </row>
    <row r="5" spans="1:18" ht="32.25" thickBot="1" x14ac:dyDescent="0.3">
      <c r="A5" s="4">
        <v>4</v>
      </c>
      <c r="B5" s="31" t="s">
        <v>34</v>
      </c>
      <c r="C5" s="34">
        <v>919972171251</v>
      </c>
      <c r="D5" s="12"/>
      <c r="E5" s="23"/>
      <c r="F5" s="38"/>
      <c r="G5" s="23"/>
      <c r="H5" s="4"/>
      <c r="I5" s="4"/>
      <c r="L5" s="23"/>
      <c r="M5" s="41"/>
      <c r="N5" s="41"/>
      <c r="Q5" s="36">
        <v>57</v>
      </c>
      <c r="R5" s="13"/>
    </row>
    <row r="6" spans="1:18" ht="16.5" thickBot="1" x14ac:dyDescent="0.3">
      <c r="A6" s="4">
        <v>5</v>
      </c>
      <c r="B6" s="31" t="s">
        <v>35</v>
      </c>
      <c r="C6" s="34">
        <v>916363693951</v>
      </c>
      <c r="D6" s="12"/>
      <c r="E6" s="24"/>
      <c r="F6" s="39"/>
      <c r="G6" s="23"/>
      <c r="H6" s="1"/>
      <c r="I6" s="1"/>
      <c r="L6" s="23"/>
      <c r="M6" s="41"/>
      <c r="N6" s="41"/>
      <c r="Q6" s="36">
        <v>156</v>
      </c>
      <c r="R6" s="13"/>
    </row>
    <row r="7" spans="1:18" ht="16.5" thickBot="1" x14ac:dyDescent="0.3">
      <c r="A7" s="4">
        <v>6</v>
      </c>
      <c r="B7" s="31" t="s">
        <v>36</v>
      </c>
      <c r="C7" s="34">
        <v>918310586435</v>
      </c>
      <c r="D7" s="12"/>
      <c r="E7" s="23"/>
      <c r="F7" s="38"/>
      <c r="G7" s="23"/>
      <c r="H7" s="4"/>
      <c r="I7" s="4"/>
      <c r="L7" s="23"/>
      <c r="M7" s="41"/>
      <c r="N7" s="41"/>
      <c r="Q7" s="36">
        <v>145</v>
      </c>
      <c r="R7" s="13"/>
    </row>
    <row r="8" spans="1:18" ht="16.5" thickBot="1" x14ac:dyDescent="0.3">
      <c r="A8" s="4">
        <v>7</v>
      </c>
      <c r="B8" s="31" t="s">
        <v>37</v>
      </c>
      <c r="C8" s="34">
        <v>919505943395</v>
      </c>
      <c r="D8" s="12"/>
      <c r="E8" s="24"/>
      <c r="F8" s="39"/>
      <c r="G8" s="23"/>
      <c r="H8" s="1"/>
      <c r="I8" s="1"/>
      <c r="L8" s="23"/>
      <c r="M8" s="41"/>
      <c r="N8" s="41"/>
      <c r="Q8" s="36">
        <v>156</v>
      </c>
      <c r="R8" s="13"/>
    </row>
    <row r="9" spans="1:18" ht="32.25" thickBot="1" x14ac:dyDescent="0.3">
      <c r="A9" s="4">
        <v>8</v>
      </c>
      <c r="B9" s="31" t="s">
        <v>38</v>
      </c>
      <c r="C9" s="34">
        <v>919900308157</v>
      </c>
      <c r="D9" s="12"/>
      <c r="E9" s="23"/>
      <c r="F9" s="39"/>
      <c r="G9" s="23"/>
      <c r="H9" s="1"/>
      <c r="I9" s="1"/>
      <c r="L9" s="23"/>
      <c r="M9" s="41"/>
      <c r="N9" s="41"/>
      <c r="Q9" s="36">
        <v>75</v>
      </c>
      <c r="R9" s="13"/>
    </row>
    <row r="10" spans="1:18" ht="16.5" thickBot="1" x14ac:dyDescent="0.3">
      <c r="A10" s="4">
        <v>9</v>
      </c>
      <c r="B10" s="31" t="s">
        <v>39</v>
      </c>
      <c r="C10" s="34">
        <v>919901139267</v>
      </c>
      <c r="D10" s="12"/>
      <c r="E10" s="23"/>
      <c r="F10" s="38"/>
      <c r="G10" s="23"/>
      <c r="H10" s="4"/>
      <c r="I10" s="4"/>
      <c r="L10" s="23"/>
      <c r="M10" s="41"/>
      <c r="N10" s="41"/>
      <c r="Q10" s="36">
        <v>152</v>
      </c>
      <c r="R10" s="13"/>
    </row>
    <row r="11" spans="1:18" ht="16.5" thickBot="1" x14ac:dyDescent="0.3">
      <c r="A11" s="4">
        <v>10</v>
      </c>
      <c r="B11" s="31" t="s">
        <v>40</v>
      </c>
      <c r="C11" s="34">
        <v>919449478419</v>
      </c>
      <c r="D11" s="12"/>
      <c r="E11" s="23"/>
      <c r="F11" s="38"/>
      <c r="G11" s="23"/>
      <c r="H11" s="4"/>
      <c r="I11" s="4"/>
      <c r="L11" s="23"/>
      <c r="M11" s="41"/>
      <c r="N11" s="41"/>
      <c r="Q11" s="36">
        <v>156</v>
      </c>
      <c r="R11" s="13"/>
    </row>
    <row r="12" spans="1:18" ht="16.5" thickBot="1" x14ac:dyDescent="0.3">
      <c r="A12" s="4">
        <v>11</v>
      </c>
      <c r="B12" s="31" t="s">
        <v>41</v>
      </c>
      <c r="C12" s="34">
        <v>919900199912</v>
      </c>
      <c r="D12" s="12"/>
      <c r="E12" s="23"/>
      <c r="F12" s="38"/>
      <c r="G12" s="23"/>
      <c r="H12" s="4"/>
      <c r="I12" s="4"/>
      <c r="L12" s="23"/>
      <c r="M12" s="41"/>
      <c r="N12" s="41"/>
      <c r="Q12" s="36">
        <v>142</v>
      </c>
      <c r="R12" s="13"/>
    </row>
    <row r="13" spans="1:18" ht="16.5" thickBot="1" x14ac:dyDescent="0.3">
      <c r="A13" s="4">
        <v>12</v>
      </c>
      <c r="B13" s="31" t="s">
        <v>42</v>
      </c>
      <c r="C13" s="34">
        <v>919740742698</v>
      </c>
      <c r="D13" s="12"/>
      <c r="E13" s="23"/>
      <c r="F13" s="38"/>
      <c r="G13" s="23"/>
      <c r="H13" s="4"/>
      <c r="I13" s="4"/>
      <c r="L13" s="23"/>
      <c r="M13" s="41"/>
      <c r="N13" s="41"/>
      <c r="Q13" s="36">
        <v>156</v>
      </c>
      <c r="R13" s="13"/>
    </row>
    <row r="14" spans="1:18" ht="16.5" thickBot="1" x14ac:dyDescent="0.3">
      <c r="A14" s="4">
        <v>13</v>
      </c>
      <c r="B14" s="31" t="s">
        <v>43</v>
      </c>
      <c r="C14" s="34">
        <v>919342602171</v>
      </c>
      <c r="D14" s="12"/>
      <c r="E14" s="24"/>
      <c r="F14" s="39"/>
      <c r="G14" s="23"/>
      <c r="H14" s="4"/>
      <c r="I14" s="4"/>
      <c r="L14" s="23"/>
      <c r="M14" s="41"/>
      <c r="N14" s="41"/>
      <c r="Q14" s="36">
        <v>110</v>
      </c>
      <c r="R14" s="13"/>
    </row>
    <row r="15" spans="1:18" ht="16.5" thickBot="1" x14ac:dyDescent="0.3">
      <c r="A15" s="4">
        <v>14</v>
      </c>
      <c r="B15" s="31" t="s">
        <v>44</v>
      </c>
      <c r="C15" s="34">
        <v>919980433652</v>
      </c>
      <c r="D15" s="12"/>
      <c r="E15" s="23"/>
      <c r="F15" s="38"/>
      <c r="G15" s="23"/>
      <c r="H15" s="4"/>
      <c r="I15" s="4"/>
      <c r="L15" s="23"/>
      <c r="M15" s="41"/>
      <c r="N15" s="41"/>
      <c r="Q15" s="36">
        <v>128</v>
      </c>
      <c r="R15" s="13"/>
    </row>
    <row r="16" spans="1:18" ht="16.5" thickBot="1" x14ac:dyDescent="0.3">
      <c r="A16" s="4">
        <v>15</v>
      </c>
      <c r="B16" s="31" t="s">
        <v>45</v>
      </c>
      <c r="C16" s="34">
        <v>917760608377</v>
      </c>
      <c r="D16" s="12"/>
      <c r="E16" s="23"/>
      <c r="F16" s="39"/>
      <c r="G16" s="23"/>
      <c r="H16" s="4"/>
      <c r="I16" s="4"/>
      <c r="L16" s="23"/>
      <c r="M16" s="41"/>
      <c r="N16" s="41"/>
      <c r="Q16" s="36">
        <v>106</v>
      </c>
      <c r="R16" s="13"/>
    </row>
    <row r="17" spans="1:18" ht="16.5" thickBot="1" x14ac:dyDescent="0.3">
      <c r="A17" s="4">
        <v>16</v>
      </c>
      <c r="B17" s="32" t="s">
        <v>46</v>
      </c>
      <c r="C17" s="34">
        <v>919632420790</v>
      </c>
      <c r="D17" s="12"/>
      <c r="E17" s="23"/>
      <c r="F17" s="39"/>
      <c r="G17" s="23"/>
      <c r="H17" s="4"/>
      <c r="I17" s="4"/>
      <c r="L17" s="23"/>
      <c r="M17" s="41"/>
      <c r="N17" s="41"/>
      <c r="Q17" s="36">
        <v>117</v>
      </c>
      <c r="R17" s="13"/>
    </row>
    <row r="18" spans="1:18" ht="16.5" thickBot="1" x14ac:dyDescent="0.3">
      <c r="A18" s="4">
        <v>17</v>
      </c>
      <c r="B18" s="31" t="s">
        <v>47</v>
      </c>
      <c r="C18" s="34">
        <v>919481712231</v>
      </c>
      <c r="D18" s="12"/>
      <c r="E18" s="23"/>
      <c r="F18" s="38"/>
      <c r="G18" s="23"/>
      <c r="H18" s="4"/>
      <c r="I18" s="4"/>
      <c r="L18" s="23"/>
      <c r="M18" s="41"/>
      <c r="N18" s="41"/>
      <c r="Q18" s="36">
        <v>156</v>
      </c>
      <c r="R18" s="13"/>
    </row>
    <row r="19" spans="1:18" ht="16.5" thickBot="1" x14ac:dyDescent="0.3">
      <c r="A19" s="4">
        <v>18</v>
      </c>
      <c r="B19" s="31" t="s">
        <v>48</v>
      </c>
      <c r="C19" s="34">
        <v>919483593378</v>
      </c>
      <c r="D19" s="12"/>
      <c r="E19" s="23"/>
      <c r="F19" s="38"/>
      <c r="G19" s="23"/>
      <c r="H19" s="1"/>
      <c r="I19" s="1"/>
      <c r="L19" s="23"/>
      <c r="M19" s="41"/>
      <c r="N19" s="41"/>
      <c r="Q19" s="36">
        <v>156</v>
      </c>
      <c r="R19" s="13"/>
    </row>
    <row r="20" spans="1:18" ht="16.5" thickBot="1" x14ac:dyDescent="0.3">
      <c r="A20" s="4">
        <v>19</v>
      </c>
      <c r="B20" s="33" t="s">
        <v>49</v>
      </c>
      <c r="C20" s="34">
        <v>917338273060</v>
      </c>
      <c r="D20" s="12"/>
      <c r="E20" s="23"/>
      <c r="F20" s="38"/>
      <c r="G20" s="23"/>
      <c r="H20" s="4"/>
      <c r="I20" s="4"/>
      <c r="L20" s="23"/>
      <c r="M20" s="41"/>
      <c r="N20" s="41"/>
      <c r="Q20" s="36">
        <v>149</v>
      </c>
      <c r="R20" s="13"/>
    </row>
    <row r="21" spans="1:18" ht="16.5" thickBot="1" x14ac:dyDescent="0.3">
      <c r="A21" s="4">
        <v>20</v>
      </c>
      <c r="B21" s="31" t="s">
        <v>50</v>
      </c>
      <c r="C21" s="34">
        <v>919449463485</v>
      </c>
      <c r="D21" s="12"/>
      <c r="E21" s="23"/>
      <c r="F21" s="38"/>
      <c r="G21" s="23"/>
      <c r="H21" s="4"/>
      <c r="I21" s="4"/>
      <c r="L21" s="23"/>
      <c r="M21" s="41"/>
      <c r="N21" s="41"/>
      <c r="Q21" s="36">
        <v>97</v>
      </c>
      <c r="R21" s="13"/>
    </row>
    <row r="22" spans="1:18" ht="16.5" thickBot="1" x14ac:dyDescent="0.3">
      <c r="A22" s="4">
        <v>21</v>
      </c>
      <c r="B22" s="31" t="s">
        <v>51</v>
      </c>
      <c r="C22" s="34">
        <v>917259105060</v>
      </c>
      <c r="D22" s="12"/>
      <c r="E22" s="23"/>
      <c r="F22" s="38"/>
      <c r="G22" s="23"/>
      <c r="H22" s="4"/>
      <c r="I22" s="4"/>
      <c r="L22" s="23"/>
      <c r="M22" s="41"/>
      <c r="N22" s="41"/>
      <c r="Q22" s="36">
        <v>142</v>
      </c>
      <c r="R22" s="13"/>
    </row>
    <row r="23" spans="1:18" ht="16.5" thickBot="1" x14ac:dyDescent="0.3">
      <c r="A23" s="4"/>
      <c r="B23" s="31"/>
      <c r="C23" s="34"/>
      <c r="D23" s="12"/>
      <c r="E23" s="23"/>
      <c r="F23" s="38"/>
      <c r="G23" s="23"/>
      <c r="H23" s="4"/>
      <c r="I23" s="4"/>
      <c r="L23" s="23"/>
      <c r="M23" s="41"/>
      <c r="N23" s="41"/>
      <c r="Q23" s="36"/>
      <c r="R23" s="13"/>
    </row>
    <row r="24" spans="1:18" ht="16.5" thickBot="1" x14ac:dyDescent="0.3">
      <c r="A24" s="4"/>
      <c r="B24" s="31"/>
      <c r="C24" s="34"/>
      <c r="D24" s="12"/>
      <c r="E24" s="23"/>
      <c r="F24" s="38"/>
      <c r="G24" s="23"/>
      <c r="H24" s="4"/>
      <c r="I24" s="4"/>
      <c r="L24" s="23"/>
      <c r="M24" s="41"/>
      <c r="N24" s="41"/>
      <c r="Q24" s="36"/>
      <c r="R24" s="13"/>
    </row>
    <row r="25" spans="1:18" ht="16.5" thickBot="1" x14ac:dyDescent="0.3">
      <c r="A25" s="4"/>
      <c r="B25" s="31"/>
      <c r="C25" s="34"/>
      <c r="D25" s="12"/>
      <c r="E25" s="23"/>
      <c r="F25" s="38"/>
      <c r="G25" s="23"/>
      <c r="H25" s="4"/>
      <c r="I25" s="4"/>
      <c r="L25" s="23"/>
      <c r="M25" s="41"/>
      <c r="N25" s="41"/>
      <c r="Q25" s="36"/>
      <c r="R25" s="13"/>
    </row>
    <row r="26" spans="1:18" ht="16.5" thickBot="1" x14ac:dyDescent="0.3">
      <c r="A26" s="4"/>
      <c r="B26" s="31"/>
      <c r="C26" s="34"/>
      <c r="D26" s="12"/>
      <c r="E26" s="23"/>
      <c r="F26" s="38"/>
      <c r="G26" s="23"/>
      <c r="H26" s="4"/>
      <c r="I26" s="4"/>
      <c r="L26" s="23"/>
      <c r="M26" s="41"/>
      <c r="N26" s="41"/>
      <c r="Q26" s="36"/>
      <c r="R26" s="13"/>
    </row>
    <row r="27" spans="1:18" x14ac:dyDescent="0.25">
      <c r="A27" s="2"/>
      <c r="B27" s="6"/>
      <c r="C27" s="14"/>
      <c r="D27" s="14"/>
      <c r="E27" s="4"/>
      <c r="F27" s="4"/>
      <c r="G27" s="4"/>
      <c r="H27" s="4"/>
      <c r="I27" s="4"/>
    </row>
    <row r="28" spans="1:18" x14ac:dyDescent="0.25">
      <c r="A28" s="2"/>
      <c r="B28" s="5"/>
      <c r="C28" s="14"/>
      <c r="D28" s="14"/>
      <c r="E28" s="4"/>
      <c r="F28" s="4"/>
      <c r="G28" s="4"/>
      <c r="H28" s="4"/>
      <c r="I28" s="4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nd">
                <anchor moveWithCells="1" sizeWithCells="1">
                  <from>
                    <xdr:col>5</xdr:col>
                    <xdr:colOff>47625</xdr:colOff>
                    <xdr:row>30</xdr:row>
                    <xdr:rowOff>104775</xdr:rowOff>
                  </from>
                  <to>
                    <xdr:col>9</xdr:col>
                    <xdr:colOff>266700</xdr:colOff>
                    <xdr:row>32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 card</vt:lpstr>
      <vt:lpstr>data 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kotreshi c k</dc:creator>
  <cp:lastModifiedBy>shivaraj karoor</cp:lastModifiedBy>
  <dcterms:created xsi:type="dcterms:W3CDTF">2015-06-05T18:17:20Z</dcterms:created>
  <dcterms:modified xsi:type="dcterms:W3CDTF">2026-08-03T10:44:21Z</dcterms:modified>
</cp:coreProperties>
</file>